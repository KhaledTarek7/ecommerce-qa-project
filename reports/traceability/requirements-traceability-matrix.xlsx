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59a2ba567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fcaf8aadc2db472c"/>
    <x:sheet xmlns:r="http://schemas.openxmlformats.org/officeDocument/2006/relationships" name="Summary" sheetId="2" r:id="Rfd866f8e676c4650"/>
    <x:sheet xmlns:r="http://schemas.openxmlformats.org/officeDocument/2006/relationships" name="Reference" sheetId="3" r:id="R0ea9f4e9ade0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f6e5b8f9c4bff" /><Relationship Type="http://schemas.openxmlformats.org/officeDocument/2006/relationships/theme" Target="/xl/theme/theme1.xml" Id="R0d5e3ff3130a42f1" /><Relationship Type="http://schemas.openxmlformats.org/officeDocument/2006/relationships/sharedStrings" Target="/xl/sharedStrings.xml" Id="R0bff0f5c39d64d80" /><Relationship Type="http://schemas.openxmlformats.org/officeDocument/2006/relationships/worksheet" Target="/xl/worksheets/sheet1.xml" Id="Rfcaf8aadc2db472c" /><Relationship Type="http://schemas.openxmlformats.org/officeDocument/2006/relationships/worksheet" Target="/xl/worksheets/sheet2.xml" Id="Rfd866f8e676c4650" /><Relationship Type="http://schemas.openxmlformats.org/officeDocument/2006/relationships/worksheet" Target="/xl/worksheets/sheet3.xml" Id="R0ea9f4e9ade046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4546a2a06b42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Requirements and Test Cases by Module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Requirements</c:v>
          </c:tx>
          <c:cat>
            <c:strRef>
              <c:f>'Summary'!$B$13:$B$20</c:f>
              <c:strCache>
                <c:ptCount val="0"/>
              </c:strCache>
            </c:strRef>
          </c:cat>
          <c:val>
            <c:numRef>
              <c:f>'Summary'!$C$13:$C$20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Test Cases</c:v>
          </c:tx>
          <c:cat>
            <c:strRef>
              <c:f>'Summary'!$B$13:$B$20</c:f>
              <c:strCache>
                <c:ptCount val="0"/>
              </c:strCache>
            </c:strRef>
          </c:cat>
          <c:val>
            <c:numRef>
              <c:f>'Summary'!$D$13:$D$20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4546a2a06b42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TMTable" displayName="RTMTable" ref="A1:M51" headerRowCount="1" totalsRowCount="0" totalsRowShown="0">
  <x:tableColumns count="13">
    <x:tableColumn id="1" name="Requirement ID"/>
    <x:tableColumn id="2" name="Module ID"/>
    <x:tableColumn id="3" name="Module"/>
    <x:tableColumn id="4" name="Requirement"/>
    <x:tableColumn id="5" name="Jira Key"/>
    <x:tableColumn id="6" name="Jira Story"/>
    <x:tableColumn id="7" name="Scenario ID(s)"/>
    <x:tableColumn id="8" name="Test Case ID(s)"/>
    <x:tableColumn id="9" name="Manual Coverage"/>
    <x:tableColumn id="10" name="Manual Result"/>
    <x:tableColumn id="11" name="Automation Priority"/>
    <x:tableColumn id="12" name="Automation Status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ModuleSummaryTable" displayName="ModuleSummaryTable" ref="A12:E20" headerRowCount="1" totalsRowCount="0" totalsRowShown="0">
  <x:tableColumns count="5">
    <x:tableColumn id="1" name="Module ID"/>
    <x:tableColumn id="2" name="Module"/>
    <x:tableColumn id="3" name="Requirements"/>
    <x:tableColumn id="4" name="Test Cases"/>
    <x:tableColumn id="5" name="Jira Ke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ferenceTable" displayName="ReferenceTable" ref="A1:F9" headerRowCount="1" totalsRowCount="0" totalsRowShown="0">
  <x:tableColumns count="6">
    <x:tableColumn id="1" name="Module ID"/>
    <x:tableColumn id="2" name="Module"/>
    <x:tableColumn id="3" name="Jira Key"/>
    <x:tableColumn id="4" name="Jira Story"/>
    <x:tableColumn id="5" name="Zephyr Test Cycle"/>
    <x:tableColumn id="6" name="Test Case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cca1e1151e4c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9d92a808551463d" /><Relationship Type="http://schemas.openxmlformats.org/officeDocument/2006/relationships/table" Target="/xl/tables/table2.xml" Id="R6af54baccbd8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9a9340ad334a0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8" hidden="0" customWidth="1"/>
    <x:col min="4" max="4" width="52" hidden="0" customWidth="1"/>
    <x:col min="5" max="5" width="12" hidden="0" customWidth="1"/>
    <x:col min="6" max="6" width="32" hidden="0" customWidth="1"/>
    <x:col min="7" max="7" width="34" hidden="0" customWidth="1"/>
    <x:col min="8" max="8" width="38" hidden="0" customWidth="1"/>
    <x:col min="9" max="9" width="16" hidden="0" customWidth="1"/>
    <x:col min="10" max="10" width="14" hidden="0" customWidth="1"/>
    <x:col min="11" max="11" width="18" hidden="0" customWidth="1"/>
    <x:col min="12" max="12" width="18" hidden="0" customWidth="1"/>
    <x:col min="13" max="13" width="38" hidden="0" customWidth="1"/>
  </x:cols>
  <x:sheetData>
    <x:row r="1">
      <x:c r="A1" s="14" t="str">
        <x:v>Requirement ID</x:v>
      </x:c>
      <x:c r="B1" s="14" t="str">
        <x:v>Module ID</x:v>
      </x:c>
      <x:c r="C1" s="14" t="str">
        <x:v>Module</x:v>
      </x:c>
      <x:c r="D1" s="14" t="str">
        <x:v>Requirement</x:v>
      </x:c>
      <x:c r="E1" s="14" t="str">
        <x:v>Jira Key</x:v>
      </x:c>
      <x:c r="F1" s="14" t="str">
        <x:v>Jira Story</x:v>
      </x:c>
      <x:c r="G1" s="14" t="str">
        <x:v>Scenario ID(s)</x:v>
      </x:c>
      <x:c r="H1" s="14" t="str">
        <x:v>Test Case ID(s)</x:v>
      </x:c>
      <x:c r="I1" s="14" t="str">
        <x:v>Manual Coverage</x:v>
      </x:c>
      <x:c r="J1" s="14" t="str">
        <x:v>Manual Result</x:v>
      </x:c>
      <x:c r="K1" s="14" t="str">
        <x:v>Automation Priority</x:v>
      </x:c>
      <x:c r="L1" s="14" t="str">
        <x:v>Automation Status</x:v>
      </x:c>
      <x:c r="M1" s="14" t="str">
        <x:v>Notes</x:v>
      </x:c>
    </x:row>
    <x:row r="2">
      <x:c r="A2" s="15" t="str">
        <x:v>REQ-LOGIN-001</x:v>
      </x:c>
      <x:c r="B2" s="15" t="str">
        <x:v>MOD-01</x:v>
      </x:c>
      <x:c r="C2" s="15" t="str">
        <x:v>Authentication / Login</x:v>
      </x:c>
      <x:c r="D2" s="15" t="str">
        <x:v>Login page provides username and password fields.</x:v>
      </x:c>
      <x:c r="E2" s="15" t="str">
        <x:v>SDQA-3</x:v>
      </x:c>
      <x:c r="F2" s="15" t="str">
        <x:v>User Authentication and Login</x:v>
      </x:c>
      <x:c r="G2" s="15" t="str">
        <x:v>TS-LOGIN-001</x:v>
      </x:c>
      <x:c r="H2" s="15" t="str">
        <x:v>TC-LOGIN-001</x:v>
      </x:c>
      <x:c r="I2" s="15" t="str">
        <x:v>Covered</x:v>
      </x:c>
      <x:c r="J2" s="15" t="str">
        <x:v>Pass</x:v>
      </x:c>
      <x:c r="K2" s="15" t="str">
        <x:v>High</x:v>
      </x:c>
      <x:c r="L2" s="15" t="str">
        <x:v>Planned</x:v>
      </x:c>
      <x:c r="M2" s="15" t="str"/>
    </x:row>
    <x:row r="3">
      <x:c r="A3" s="15" t="str">
        <x:v>REQ-LOGIN-002</x:v>
      </x:c>
      <x:c r="B3" s="15" t="str">
        <x:v>MOD-01</x:v>
      </x:c>
      <x:c r="C3" s="15" t="str">
        <x:v>Authentication / Login</x:v>
      </x:c>
      <x:c r="D3" s="15" t="str">
        <x:v>Valid credentials authenticate the user successfully.</x:v>
      </x:c>
      <x:c r="E3" s="15" t="str">
        <x:v>SDQA-3</x:v>
      </x:c>
      <x:c r="F3" s="15" t="str">
        <x:v>User Authentication and Login</x:v>
      </x:c>
      <x:c r="G3" s="15" t="str">
        <x:v>TS-LOGIN-001</x:v>
      </x:c>
      <x:c r="H3" s="15" t="str">
        <x:v>TC-LOGIN-001</x:v>
      </x:c>
      <x:c r="I3" s="15" t="str">
        <x:v>Covered</x:v>
      </x:c>
      <x:c r="J3" s="15" t="str">
        <x:v>Pass</x:v>
      </x:c>
      <x:c r="K3" s="15" t="str">
        <x:v>High</x:v>
      </x:c>
      <x:c r="L3" s="15" t="str">
        <x:v>Planned</x:v>
      </x:c>
      <x:c r="M3" s="15" t="str"/>
    </x:row>
    <x:row r="4">
      <x:c r="A4" s="15" t="str">
        <x:v>REQ-LOGIN-003</x:v>
      </x:c>
      <x:c r="B4" s="15" t="str">
        <x:v>MOD-01</x:v>
      </x:c>
      <x:c r="C4" s="15" t="str">
        <x:v>Authentication / Login</x:v>
      </x:c>
      <x:c r="D4" s="15" t="str">
        <x:v>Invalid credentials are rejected.</x:v>
      </x:c>
      <x:c r="E4" s="15" t="str">
        <x:v>SDQA-3</x:v>
      </x:c>
      <x:c r="F4" s="15" t="str">
        <x:v>User Authentication and Login</x:v>
      </x:c>
      <x:c r="G4" s="15" t="str">
        <x:v>TS-LOGIN-002, TS-LOGIN-003, TS-LOGIN-004</x:v>
      </x:c>
      <x:c r="H4" s="15" t="str">
        <x:v>TC-LOGIN-002, TC-LOGIN-003, TC-LOGIN-004</x:v>
      </x:c>
      <x:c r="I4" s="15" t="str">
        <x:v>Covered</x:v>
      </x:c>
      <x:c r="J4" s="15" t="str">
        <x:v>Pass</x:v>
      </x:c>
      <x:c r="K4" s="15" t="str">
        <x:v>High</x:v>
      </x:c>
      <x:c r="L4" s="15" t="str">
        <x:v>Planned</x:v>
      </x:c>
      <x:c r="M4" s="15" t="str"/>
    </x:row>
    <x:row r="5">
      <x:c r="A5" s="15" t="str">
        <x:v>REQ-LOGIN-004</x:v>
      </x:c>
      <x:c r="B5" s="15" t="str">
        <x:v>MOD-01</x:v>
      </x:c>
      <x:c r="C5" s="15" t="str">
        <x:v>Authentication / Login</x:v>
      </x:c>
      <x:c r="D5" s="15" t="str">
        <x:v>Login is prevented when username is missing.</x:v>
      </x:c>
      <x:c r="E5" s="15" t="str">
        <x:v>SDQA-3</x:v>
      </x:c>
      <x:c r="F5" s="15" t="str">
        <x:v>User Authentication and Login</x:v>
      </x:c>
      <x:c r="G5" s="15" t="str">
        <x:v>TS-LOGIN-005, TS-LOGIN-007</x:v>
      </x:c>
      <x:c r="H5" s="15" t="str">
        <x:v>TC-LOGIN-005, TC-LOGIN-007</x:v>
      </x:c>
      <x:c r="I5" s="15" t="str">
        <x:v>Covered</x:v>
      </x:c>
      <x:c r="J5" s="15" t="str">
        <x:v>Pass</x:v>
      </x:c>
      <x:c r="K5" s="15" t="str">
        <x:v>High</x:v>
      </x:c>
      <x:c r="L5" s="15" t="str">
        <x:v>Planned</x:v>
      </x:c>
      <x:c r="M5" s="15" t="str"/>
    </x:row>
    <x:row r="6">
      <x:c r="A6" s="15" t="str">
        <x:v>REQ-LOGIN-005</x:v>
      </x:c>
      <x:c r="B6" s="15" t="str">
        <x:v>MOD-01</x:v>
      </x:c>
      <x:c r="C6" s="15" t="str">
        <x:v>Authentication / Login</x:v>
      </x:c>
      <x:c r="D6" s="15" t="str">
        <x:v>Login is prevented when password is missing.</x:v>
      </x:c>
      <x:c r="E6" s="15" t="str">
        <x:v>SDQA-3</x:v>
      </x:c>
      <x:c r="F6" s="15" t="str">
        <x:v>User Authentication and Login</x:v>
      </x:c>
      <x:c r="G6" s="15" t="str">
        <x:v>TS-LOGIN-006, TS-LOGIN-007</x:v>
      </x:c>
      <x:c r="H6" s="15" t="str">
        <x:v>TC-LOGIN-006, TC-LOGIN-007</x:v>
      </x:c>
      <x:c r="I6" s="15" t="str">
        <x:v>Covered</x:v>
      </x:c>
      <x:c r="J6" s="15" t="str">
        <x:v>Pass</x:v>
      </x:c>
      <x:c r="K6" s="15" t="str">
        <x:v>High</x:v>
      </x:c>
      <x:c r="L6" s="15" t="str">
        <x:v>Planned</x:v>
      </x:c>
      <x:c r="M6" s="15" t="str"/>
    </x:row>
    <x:row r="7">
      <x:c r="A7" s="15" t="str">
        <x:v>REQ-LOGIN-006</x:v>
      </x:c>
      <x:c r="B7" s="15" t="str">
        <x:v>MOD-01</x:v>
      </x:c>
      <x:c r="C7" s="15" t="str">
        <x:v>Authentication / Login</x:v>
      </x:c>
      <x:c r="D7" s="15" t="str">
        <x:v>Authentication failures display an appropriate error message.</x:v>
      </x:c>
      <x:c r="E7" s="15" t="str">
        <x:v>SDQA-3</x:v>
      </x:c>
      <x:c r="F7" s="15" t="str">
        <x:v>User Authentication and Login</x:v>
      </x:c>
      <x:c r="G7" s="15" t="str">
        <x:v>TS-LOGIN-002, TS-LOGIN-003, TS-LOGIN-004, TS-LOGIN-005, TS-LOGIN-006, TS-LOGIN-007, TS-LOGIN-008</x:v>
      </x:c>
      <x:c r="H7" s="15" t="str">
        <x:v>TC-LOGIN-002, TC-LOGIN-003, TC-LOGIN-004, TC-LOGIN-005, TC-LOGIN-006, TC-LOGIN-007, TC-LOGIN-008</x:v>
      </x:c>
      <x:c r="I7" s="15" t="str">
        <x:v>Covered</x:v>
      </x:c>
      <x:c r="J7" s="15" t="str">
        <x:v>Pass</x:v>
      </x:c>
      <x:c r="K7" s="15" t="str">
        <x:v>High</x:v>
      </x:c>
      <x:c r="L7" s="15" t="str">
        <x:v>Planned</x:v>
      </x:c>
      <x:c r="M7" s="15" t="str"/>
    </x:row>
    <x:row r="8">
      <x:c r="A8" s="15" t="str">
        <x:v>REQ-LOGIN-007</x:v>
      </x:c>
      <x:c r="B8" s="15" t="str">
        <x:v>MOD-01</x:v>
      </x:c>
      <x:c r="C8" s="15" t="str">
        <x:v>Authentication / Login</x:v>
      </x:c>
      <x:c r="D8" s="15" t="str">
        <x:v>Locked-out users cannot access the application.</x:v>
      </x:c>
      <x:c r="E8" s="15" t="str">
        <x:v>SDQA-3</x:v>
      </x:c>
      <x:c r="F8" s="15" t="str">
        <x:v>User Authentication and Login</x:v>
      </x:c>
      <x:c r="G8" s="15" t="str">
        <x:v>TS-LOGIN-008</x:v>
      </x:c>
      <x:c r="H8" s="15" t="str">
        <x:v>TC-LOGIN-008</x:v>
      </x:c>
      <x:c r="I8" s="15" t="str">
        <x:v>Covered</x:v>
      </x:c>
      <x:c r="J8" s="15" t="str">
        <x:v>Pass</x:v>
      </x:c>
      <x:c r="K8" s="15" t="str">
        <x:v>High</x:v>
      </x:c>
      <x:c r="L8" s="15" t="str">
        <x:v>Planned</x:v>
      </x:c>
      <x:c r="M8" s="15" t="str"/>
    </x:row>
    <x:row r="9">
      <x:c r="A9" s="15" t="str">
        <x:v>REQ-PROD-001</x:v>
      </x:c>
      <x:c r="B9" s="15" t="str">
        <x:v>MOD-02</x:v>
      </x:c>
      <x:c r="C9" s="15" t="str">
        <x:v>Product Listing &amp; Sorting</x:v>
      </x:c>
      <x:c r="D9" s="15" t="str">
        <x:v>Products are displayed after successful authentication.</x:v>
      </x:c>
      <x:c r="E9" s="15" t="str">
        <x:v>SDQA-4</x:v>
      </x:c>
      <x:c r="F9" s="15" t="str">
        <x:v>Product Listing and Sorting</x:v>
      </x:c>
      <x:c r="G9" s="15" t="str">
        <x:v>TS-PROD-001</x:v>
      </x:c>
      <x:c r="H9" s="15" t="str">
        <x:v>TC-PROD-001</x:v>
      </x:c>
      <x:c r="I9" s="15" t="str">
        <x:v>Covered</x:v>
      </x:c>
      <x:c r="J9" s="15" t="str">
        <x:v>Pass</x:v>
      </x:c>
      <x:c r="K9" s="15" t="str">
        <x:v>High</x:v>
      </x:c>
      <x:c r="L9" s="15" t="str">
        <x:v>Planned</x:v>
      </x:c>
      <x:c r="M9" s="15" t="str"/>
    </x:row>
    <x:row r="10">
      <x:c r="A10" s="15" t="str">
        <x:v>REQ-PROD-002</x:v>
      </x:c>
      <x:c r="B10" s="15" t="str">
        <x:v>MOD-02</x:v>
      </x:c>
      <x:c r="C10" s="15" t="str">
        <x:v>Product Listing &amp; Sorting</x:v>
      </x:c>
      <x:c r="D10" s="15" t="str">
        <x:v>Each product displays identifying information.</x:v>
      </x:c>
      <x:c r="E10" s="15" t="str">
        <x:v>SDQA-4</x:v>
      </x:c>
      <x:c r="F10" s="15" t="str">
        <x:v>Product Listing and Sorting</x:v>
      </x:c>
      <x:c r="G10" s="15" t="str">
        <x:v>TS-PROD-002</x:v>
      </x:c>
      <x:c r="H10" s="15" t="str">
        <x:v>TC-PROD-002</x:v>
      </x:c>
      <x:c r="I10" s="15" t="str">
        <x:v>Covered</x:v>
      </x:c>
      <x:c r="J10" s="15" t="str">
        <x:v>Pass</x:v>
      </x:c>
      <x:c r="K10" s="15" t="str">
        <x:v>Medium</x:v>
      </x:c>
      <x:c r="L10" s="15" t="str">
        <x:v>Planned</x:v>
      </x:c>
      <x:c r="M10" s="15" t="str"/>
    </x:row>
    <x:row r="11">
      <x:c r="A11" s="15" t="str">
        <x:v>REQ-PROD-003</x:v>
      </x:c>
      <x:c r="B11" s="15" t="str">
        <x:v>MOD-02</x:v>
      </x:c>
      <x:c r="C11" s="15" t="str">
        <x:v>Product Listing &amp; Sorting</x:v>
      </x:c>
      <x:c r="D11" s="15" t="str">
        <x:v>A product can be added from the product listing.</x:v>
      </x:c>
      <x:c r="E11" s="15" t="str">
        <x:v>SDQA-4</x:v>
      </x:c>
      <x:c r="F11" s="15" t="str">
        <x:v>Product Listing and Sorting</x:v>
      </x:c>
      <x:c r="G11" s="15" t="str">
        <x:v>TS-PROD-003, TS-PROD-005</x:v>
      </x:c>
      <x:c r="H11" s="15" t="str">
        <x:v>TC-PROD-003, TC-PROD-005</x:v>
      </x:c>
      <x:c r="I11" s="15" t="str">
        <x:v>Covered</x:v>
      </x:c>
      <x:c r="J11" s="15" t="str">
        <x:v>Pass</x:v>
      </x:c>
      <x:c r="K11" s="15" t="str">
        <x:v>High</x:v>
      </x:c>
      <x:c r="L11" s="15" t="str">
        <x:v>Planned</x:v>
      </x:c>
      <x:c r="M11" s="15" t="str"/>
    </x:row>
    <x:row r="12">
      <x:c r="A12" s="15" t="str">
        <x:v>REQ-PROD-004</x:v>
      </x:c>
      <x:c r="B12" s="15" t="str">
        <x:v>MOD-02</x:v>
      </x:c>
      <x:c r="C12" s="15" t="str">
        <x:v>Product Listing &amp; Sorting</x:v>
      </x:c>
      <x:c r="D12" s="15" t="str">
        <x:v>An added product can be removed from the product listing.</x:v>
      </x:c>
      <x:c r="E12" s="15" t="str">
        <x:v>SDQA-4</x:v>
      </x:c>
      <x:c r="F12" s="15" t="str">
        <x:v>Product Listing and Sorting</x:v>
      </x:c>
      <x:c r="G12" s="15" t="str">
        <x:v>TS-PROD-004, TS-PROD-006</x:v>
      </x:c>
      <x:c r="H12" s="15" t="str">
        <x:v>TC-PROD-004, TC-PROD-006</x:v>
      </x:c>
      <x:c r="I12" s="15" t="str">
        <x:v>Covered</x:v>
      </x:c>
      <x:c r="J12" s="15" t="str">
        <x:v>Pass</x:v>
      </x:c>
      <x:c r="K12" s="15" t="str">
        <x:v>High</x:v>
      </x:c>
      <x:c r="L12" s="15" t="str">
        <x:v>Planned</x:v>
      </x:c>
      <x:c r="M12" s="15" t="str"/>
    </x:row>
    <x:row r="13">
      <x:c r="A13" s="15" t="str">
        <x:v>REQ-PROD-005</x:v>
      </x:c>
      <x:c r="B13" s="15" t="str">
        <x:v>MOD-02</x:v>
      </x:c>
      <x:c r="C13" s="15" t="str">
        <x:v>Product Listing &amp; Sorting</x:v>
      </x:c>
      <x:c r="D13" s="15" t="str">
        <x:v>The cart indicator reflects the number of selected products.</x:v>
      </x:c>
      <x:c r="E13" s="15" t="str">
        <x:v>SDQA-4</x:v>
      </x:c>
      <x:c r="F13" s="15" t="str">
        <x:v>Product Listing and Sorting</x:v>
      </x:c>
      <x:c r="G13" s="15" t="str">
        <x:v>TS-PROD-003, TS-PROD-004, TS-PROD-005, TS-PROD-006</x:v>
      </x:c>
      <x:c r="H13" s="15" t="str">
        <x:v>TC-PROD-003, TC-PROD-004, TC-PROD-005, TC-PROD-006</x:v>
      </x:c>
      <x:c r="I13" s="15" t="str">
        <x:v>Covered</x:v>
      </x:c>
      <x:c r="J13" s="15" t="str">
        <x:v>Pass</x:v>
      </x:c>
      <x:c r="K13" s="15" t="str">
        <x:v>High</x:v>
      </x:c>
      <x:c r="L13" s="15" t="str">
        <x:v>Planned</x:v>
      </x:c>
      <x:c r="M13" s="15" t="str"/>
    </x:row>
    <x:row r="14">
      <x:c r="A14" s="15" t="str">
        <x:v>REQ-PROD-006</x:v>
      </x:c>
      <x:c r="B14" s="15" t="str">
        <x:v>MOD-02</x:v>
      </x:c>
      <x:c r="C14" s="15" t="str">
        <x:v>Product Listing &amp; Sorting</x:v>
      </x:c>
      <x:c r="D14" s="15" t="str">
        <x:v>Products can be sorted by name A to Z.</x:v>
      </x:c>
      <x:c r="E14" s="15" t="str">
        <x:v>SDQA-4</x:v>
      </x:c>
      <x:c r="F14" s="15" t="str">
        <x:v>Product Listing and Sorting</x:v>
      </x:c>
      <x:c r="G14" s="15" t="str">
        <x:v>TS-PROD-007</x:v>
      </x:c>
      <x:c r="H14" s="15" t="str">
        <x:v>TC-PROD-007</x:v>
      </x:c>
      <x:c r="I14" s="15" t="str">
        <x:v>Covered</x:v>
      </x:c>
      <x:c r="J14" s="15" t="str">
        <x:v>Pass</x:v>
      </x:c>
      <x:c r="K14" s="15" t="str">
        <x:v>Medium</x:v>
      </x:c>
      <x:c r="L14" s="15" t="str">
        <x:v>Planned</x:v>
      </x:c>
      <x:c r="M14" s="15" t="str"/>
    </x:row>
    <x:row r="15">
      <x:c r="A15" s="15" t="str">
        <x:v>REQ-PROD-007</x:v>
      </x:c>
      <x:c r="B15" s="15" t="str">
        <x:v>MOD-02</x:v>
      </x:c>
      <x:c r="C15" s="15" t="str">
        <x:v>Product Listing &amp; Sorting</x:v>
      </x:c>
      <x:c r="D15" s="15" t="str">
        <x:v>Products can be sorted by name Z to A.</x:v>
      </x:c>
      <x:c r="E15" s="15" t="str">
        <x:v>SDQA-4</x:v>
      </x:c>
      <x:c r="F15" s="15" t="str">
        <x:v>Product Listing and Sorting</x:v>
      </x:c>
      <x:c r="G15" s="15" t="str">
        <x:v>TS-PROD-008</x:v>
      </x:c>
      <x:c r="H15" s="15" t="str">
        <x:v>TC-PROD-008</x:v>
      </x:c>
      <x:c r="I15" s="15" t="str">
        <x:v>Covered</x:v>
      </x:c>
      <x:c r="J15" s="15" t="str">
        <x:v>Pass</x:v>
      </x:c>
      <x:c r="K15" s="15" t="str">
        <x:v>Medium</x:v>
      </x:c>
      <x:c r="L15" s="15" t="str">
        <x:v>Planned</x:v>
      </x:c>
      <x:c r="M15" s="15" t="str"/>
    </x:row>
    <x:row r="16">
      <x:c r="A16" s="15" t="str">
        <x:v>REQ-PROD-008</x:v>
      </x:c>
      <x:c r="B16" s="15" t="str">
        <x:v>MOD-02</x:v>
      </x:c>
      <x:c r="C16" s="15" t="str">
        <x:v>Product Listing &amp; Sorting</x:v>
      </x:c>
      <x:c r="D16" s="15" t="str">
        <x:v>Products can be sorted by price low to high.</x:v>
      </x:c>
      <x:c r="E16" s="15" t="str">
        <x:v>SDQA-4</x:v>
      </x:c>
      <x:c r="F16" s="15" t="str">
        <x:v>Product Listing and Sorting</x:v>
      </x:c>
      <x:c r="G16" s="15" t="str">
        <x:v>TS-PROD-009</x:v>
      </x:c>
      <x:c r="H16" s="15" t="str">
        <x:v>TC-PROD-009</x:v>
      </x:c>
      <x:c r="I16" s="15" t="str">
        <x:v>Covered</x:v>
      </x:c>
      <x:c r="J16" s="15" t="str">
        <x:v>Pass</x:v>
      </x:c>
      <x:c r="K16" s="15" t="str">
        <x:v>Medium</x:v>
      </x:c>
      <x:c r="L16" s="15" t="str">
        <x:v>Planned</x:v>
      </x:c>
      <x:c r="M16" s="15" t="str"/>
    </x:row>
    <x:row r="17">
      <x:c r="A17" s="15" t="str">
        <x:v>REQ-PROD-009</x:v>
      </x:c>
      <x:c r="B17" s="15" t="str">
        <x:v>MOD-02</x:v>
      </x:c>
      <x:c r="C17" s="15" t="str">
        <x:v>Product Listing &amp; Sorting</x:v>
      </x:c>
      <x:c r="D17" s="15" t="str">
        <x:v>Products can be sorted by price high to low.</x:v>
      </x:c>
      <x:c r="E17" s="15" t="str">
        <x:v>SDQA-4</x:v>
      </x:c>
      <x:c r="F17" s="15" t="str">
        <x:v>Product Listing and Sorting</x:v>
      </x:c>
      <x:c r="G17" s="15" t="str">
        <x:v>TS-PROD-010</x:v>
      </x:c>
      <x:c r="H17" s="15" t="str">
        <x:v>TC-PROD-010</x:v>
      </x:c>
      <x:c r="I17" s="15" t="str">
        <x:v>Covered</x:v>
      </x:c>
      <x:c r="J17" s="15" t="str">
        <x:v>Pass</x:v>
      </x:c>
      <x:c r="K17" s="15" t="str">
        <x:v>Medium</x:v>
      </x:c>
      <x:c r="L17" s="15" t="str">
        <x:v>Planned</x:v>
      </x:c>
      <x:c r="M17" s="15" t="str"/>
    </x:row>
    <x:row r="18">
      <x:c r="A18" s="15" t="str">
        <x:v>REQ-PDETAIL-001</x:v>
      </x:c>
      <x:c r="B18" s="15" t="str">
        <x:v>MOD-03</x:v>
      </x:c>
      <x:c r="C18" s="15" t="str">
        <x:v>Product Details</x:v>
      </x:c>
      <x:c r="D18" s="15" t="str">
        <x:v>An individual product details page can be opened from the product listing.</x:v>
      </x:c>
      <x:c r="E18" s="15" t="str">
        <x:v>SDQA-5</x:v>
      </x:c>
      <x:c r="F18" s="15" t="str">
        <x:v>Product Details</x:v>
      </x:c>
      <x:c r="G18" s="15" t="str">
        <x:v>TS-PDETAIL-001</x:v>
      </x:c>
      <x:c r="H18" s="15" t="str">
        <x:v>TC-PDETAIL-001</x:v>
      </x:c>
      <x:c r="I18" s="15" t="str">
        <x:v>Covered</x:v>
      </x:c>
      <x:c r="J18" s="15" t="str">
        <x:v>Pass</x:v>
      </x:c>
      <x:c r="K18" s="15" t="str">
        <x:v>Medium</x:v>
      </x:c>
      <x:c r="L18" s="15" t="str">
        <x:v>Planned</x:v>
      </x:c>
      <x:c r="M18" s="15" t="str"/>
    </x:row>
    <x:row r="19">
      <x:c r="A19" s="15" t="str">
        <x:v>REQ-PDETAIL-002</x:v>
      </x:c>
      <x:c r="B19" s="15" t="str">
        <x:v>MOD-03</x:v>
      </x:c>
      <x:c r="C19" s="15" t="str">
        <x:v>Product Details</x:v>
      </x:c>
      <x:c r="D19" s="15" t="str">
        <x:v>The details page corresponds to the selected product.</x:v>
      </x:c>
      <x:c r="E19" s="15" t="str">
        <x:v>SDQA-5</x:v>
      </x:c>
      <x:c r="F19" s="15" t="str">
        <x:v>Product Details</x:v>
      </x:c>
      <x:c r="G19" s="15" t="str">
        <x:v>TS-PDETAIL-002, TS-PDETAIL-006</x:v>
      </x:c>
      <x:c r="H19" s="15" t="str">
        <x:v>TC-PDETAIL-002, TC-PDETAIL-006</x:v>
      </x:c>
      <x:c r="I19" s="15" t="str">
        <x:v>Covered</x:v>
      </x:c>
      <x:c r="J19" s="15" t="str">
        <x:v>Pass</x:v>
      </x:c>
      <x:c r="K19" s="15" t="str">
        <x:v>High</x:v>
      </x:c>
      <x:c r="L19" s="15" t="str">
        <x:v>Planned</x:v>
      </x:c>
      <x:c r="M19" s="15" t="str"/>
    </x:row>
    <x:row r="20">
      <x:c r="A20" s="15" t="str">
        <x:v>REQ-PDETAIL-003</x:v>
      </x:c>
      <x:c r="B20" s="15" t="str">
        <x:v>MOD-03</x:v>
      </x:c>
      <x:c r="C20" s="15" t="str">
        <x:v>Product Details</x:v>
      </x:c>
      <x:c r="D20" s="15" t="str">
        <x:v>A product can be added to the cart from its details page.</x:v>
      </x:c>
      <x:c r="E20" s="15" t="str">
        <x:v>SDQA-5</x:v>
      </x:c>
      <x:c r="F20" s="15" t="str">
        <x:v>Product Details</x:v>
      </x:c>
      <x:c r="G20" s="15" t="str">
        <x:v>TS-PDETAIL-003</x:v>
      </x:c>
      <x:c r="H20" s="15" t="str">
        <x:v>TC-PDETAIL-003</x:v>
      </x:c>
      <x:c r="I20" s="15" t="str">
        <x:v>Covered</x:v>
      </x:c>
      <x:c r="J20" s="15" t="str">
        <x:v>Pass</x:v>
      </x:c>
      <x:c r="K20" s="15" t="str">
        <x:v>High</x:v>
      </x:c>
      <x:c r="L20" s="15" t="str">
        <x:v>Planned</x:v>
      </x:c>
      <x:c r="M20" s="15" t="str"/>
    </x:row>
    <x:row r="21">
      <x:c r="A21" s="15" t="str">
        <x:v>REQ-PDETAIL-004</x:v>
      </x:c>
      <x:c r="B21" s="15" t="str">
        <x:v>MOD-03</x:v>
      </x:c>
      <x:c r="C21" s="15" t="str">
        <x:v>Product Details</x:v>
      </x:c>
      <x:c r="D21" s="15" t="str">
        <x:v>An added product can be removed from its details page.</x:v>
      </x:c>
      <x:c r="E21" s="15" t="str">
        <x:v>SDQA-5</x:v>
      </x:c>
      <x:c r="F21" s="15" t="str">
        <x:v>Product Details</x:v>
      </x:c>
      <x:c r="G21" s="15" t="str">
        <x:v>TS-PDETAIL-004</x:v>
      </x:c>
      <x:c r="H21" s="15" t="str">
        <x:v>TC-PDETAIL-004</x:v>
      </x:c>
      <x:c r="I21" s="15" t="str">
        <x:v>Covered</x:v>
      </x:c>
      <x:c r="J21" s="15" t="str">
        <x:v>Pass</x:v>
      </x:c>
      <x:c r="K21" s="15" t="str">
        <x:v>High</x:v>
      </x:c>
      <x:c r="L21" s="15" t="str">
        <x:v>Planned</x:v>
      </x:c>
      <x:c r="M21" s="15" t="str"/>
    </x:row>
    <x:row r="22">
      <x:c r="A22" s="15" t="str">
        <x:v>REQ-PDETAIL-005</x:v>
      </x:c>
      <x:c r="B22" s="15" t="str">
        <x:v>MOD-03</x:v>
      </x:c>
      <x:c r="C22" s="15" t="str">
        <x:v>Product Details</x:v>
      </x:c>
      <x:c r="D22" s="15" t="str">
        <x:v>The user can return from product details to the product listing.</x:v>
      </x:c>
      <x:c r="E22" s="15" t="str">
        <x:v>SDQA-5</x:v>
      </x:c>
      <x:c r="F22" s="15" t="str">
        <x:v>Product Details</x:v>
      </x:c>
      <x:c r="G22" s="15" t="str">
        <x:v>TS-PDETAIL-005</x:v>
      </x:c>
      <x:c r="H22" s="15" t="str">
        <x:v>TC-PDETAIL-005</x:v>
      </x:c>
      <x:c r="I22" s="15" t="str">
        <x:v>Covered</x:v>
      </x:c>
      <x:c r="J22" s="15" t="str">
        <x:v>Pass</x:v>
      </x:c>
      <x:c r="K22" s="15" t="str">
        <x:v>Medium</x:v>
      </x:c>
      <x:c r="L22" s="15" t="str">
        <x:v>Planned</x:v>
      </x:c>
      <x:c r="M22" s="15" t="str"/>
    </x:row>
    <x:row r="23">
      <x:c r="A23" s="15" t="str">
        <x:v>REQ-CART-001</x:v>
      </x:c>
      <x:c r="B23" s="15" t="str">
        <x:v>MOD-04</x:v>
      </x:c>
      <x:c r="C23" s="15" t="str">
        <x:v>Shopping Cart</x:v>
      </x:c>
      <x:c r="D23" s="15" t="str">
        <x:v>The cart displays products added by the user.</x:v>
      </x:c>
      <x:c r="E23" s="15" t="str">
        <x:v>SDQA-6</x:v>
      </x:c>
      <x:c r="F23" s="15" t="str">
        <x:v>Shopping Cart</x:v>
      </x:c>
      <x:c r="G23" s="15" t="str">
        <x:v>TS-CART-001, TS-CART-002</x:v>
      </x:c>
      <x:c r="H23" s="15" t="str">
        <x:v>TC-CART-001, TC-CART-002</x:v>
      </x:c>
      <x:c r="I23" s="15" t="str">
        <x:v>Covered</x:v>
      </x:c>
      <x:c r="J23" s="15" t="str">
        <x:v>Pass</x:v>
      </x:c>
      <x:c r="K23" s="15" t="str">
        <x:v>High</x:v>
      </x:c>
      <x:c r="L23" s="15" t="str">
        <x:v>Planned</x:v>
      </x:c>
      <x:c r="M23" s="15" t="str"/>
    </x:row>
    <x:row r="24">
      <x:c r="A24" s="15" t="str">
        <x:v>REQ-CART-002</x:v>
      </x:c>
      <x:c r="B24" s="15" t="str">
        <x:v>MOD-04</x:v>
      </x:c>
      <x:c r="C24" s="15" t="str">
        <x:v>Shopping Cart</x:v>
      </x:c>
      <x:c r="D24" s="15" t="str">
        <x:v>Cart item information corresponds to the selected products.</x:v>
      </x:c>
      <x:c r="E24" s="15" t="str">
        <x:v>SDQA-6</x:v>
      </x:c>
      <x:c r="F24" s="15" t="str">
        <x:v>Shopping Cart</x:v>
      </x:c>
      <x:c r="G24" s="15" t="str">
        <x:v>TS-CART-002, TS-CART-003</x:v>
      </x:c>
      <x:c r="H24" s="15" t="str">
        <x:v>TC-CART-002, TC-CART-003</x:v>
      </x:c>
      <x:c r="I24" s="15" t="str">
        <x:v>Covered</x:v>
      </x:c>
      <x:c r="J24" s="15" t="str">
        <x:v>Pass</x:v>
      </x:c>
      <x:c r="K24" s="15" t="str">
        <x:v>High</x:v>
      </x:c>
      <x:c r="L24" s="15" t="str">
        <x:v>Planned</x:v>
      </x:c>
      <x:c r="M24" s="15" t="str"/>
    </x:row>
    <x:row r="25">
      <x:c r="A25" s="15" t="str">
        <x:v>REQ-CART-003</x:v>
      </x:c>
      <x:c r="B25" s="15" t="str">
        <x:v>MOD-04</x:v>
      </x:c>
      <x:c r="C25" s="15" t="str">
        <x:v>Shopping Cart</x:v>
      </x:c>
      <x:c r="D25" s="15" t="str">
        <x:v>Products can be removed directly from the shopping cart.</x:v>
      </x:c>
      <x:c r="E25" s="15" t="str">
        <x:v>SDQA-6</x:v>
      </x:c>
      <x:c r="F25" s="15" t="str">
        <x:v>Shopping Cart</x:v>
      </x:c>
      <x:c r="G25" s="15" t="str">
        <x:v>TS-CART-004, TS-CART-005</x:v>
      </x:c>
      <x:c r="H25" s="15" t="str">
        <x:v>TC-CART-004, TC-CART-005</x:v>
      </x:c>
      <x:c r="I25" s="15" t="str">
        <x:v>Covered</x:v>
      </x:c>
      <x:c r="J25" s="15" t="str">
        <x:v>Pass</x:v>
      </x:c>
      <x:c r="K25" s="15" t="str">
        <x:v>High</x:v>
      </x:c>
      <x:c r="L25" s="15" t="str">
        <x:v>Planned</x:v>
      </x:c>
      <x:c r="M25" s="15" t="str"/>
    </x:row>
    <x:row r="26">
      <x:c r="A26" s="15" t="str">
        <x:v>REQ-CART-004</x:v>
      </x:c>
      <x:c r="B26" s="15" t="str">
        <x:v>MOD-04</x:v>
      </x:c>
      <x:c r="C26" s="15" t="str">
        <x:v>Shopping Cart</x:v>
      </x:c>
      <x:c r="D26" s="15" t="str">
        <x:v>The user can return from the cart to product browsing.</x:v>
      </x:c>
      <x:c r="E26" s="15" t="str">
        <x:v>SDQA-6</x:v>
      </x:c>
      <x:c r="F26" s="15" t="str">
        <x:v>Shopping Cart</x:v>
      </x:c>
      <x:c r="G26" s="15" t="str">
        <x:v>TS-CART-006</x:v>
      </x:c>
      <x:c r="H26" s="15" t="str">
        <x:v>TC-CART-006</x:v>
      </x:c>
      <x:c r="I26" s="15" t="str">
        <x:v>Covered</x:v>
      </x:c>
      <x:c r="J26" s="15" t="str">
        <x:v>Pass</x:v>
      </x:c>
      <x:c r="K26" s="15" t="str">
        <x:v>Medium</x:v>
      </x:c>
      <x:c r="L26" s="15" t="str">
        <x:v>Planned</x:v>
      </x:c>
      <x:c r="M26" s="15" t="str"/>
    </x:row>
    <x:row r="27">
      <x:c r="A27" s="15" t="str">
        <x:v>REQ-CART-005</x:v>
      </x:c>
      <x:c r="B27" s="15" t="str">
        <x:v>MOD-04</x:v>
      </x:c>
      <x:c r="C27" s="15" t="str">
        <x:v>Shopping Cart</x:v>
      </x:c>
      <x:c r="D27" s="15" t="str">
        <x:v>The user can proceed from the cart to checkout.</x:v>
      </x:c>
      <x:c r="E27" s="15" t="str">
        <x:v>SDQA-6</x:v>
      </x:c>
      <x:c r="F27" s="15" t="str">
        <x:v>Shopping Cart</x:v>
      </x:c>
      <x:c r="G27" s="15" t="str">
        <x:v>TS-CART-007</x:v>
      </x:c>
      <x:c r="H27" s="15" t="str">
        <x:v>TC-CART-007</x:v>
      </x:c>
      <x:c r="I27" s="15" t="str">
        <x:v>Covered</x:v>
      </x:c>
      <x:c r="J27" s="15" t="str">
        <x:v>Pass</x:v>
      </x:c>
      <x:c r="K27" s="15" t="str">
        <x:v>High</x:v>
      </x:c>
      <x:c r="L27" s="15" t="str">
        <x:v>Planned</x:v>
      </x:c>
      <x:c r="M27" s="15" t="str"/>
    </x:row>
    <x:row r="28">
      <x:c r="A28" s="15" t="str">
        <x:v>REQ-CART-006</x:v>
      </x:c>
      <x:c r="B28" s="15" t="str">
        <x:v>MOD-04</x:v>
      </x:c>
      <x:c r="C28" s="15" t="str">
        <x:v>Shopping Cart</x:v>
      </x:c>
      <x:c r="D28" s="15" t="str">
        <x:v>Cart contents remain consistent during normal navigation unless changed or reset.</x:v>
      </x:c>
      <x:c r="E28" s="15" t="str">
        <x:v>SDQA-6</x:v>
      </x:c>
      <x:c r="F28" s="15" t="str">
        <x:v>Shopping Cart</x:v>
      </x:c>
      <x:c r="G28" s="15" t="str">
        <x:v>TS-CART-005, TS-CART-008</x:v>
      </x:c>
      <x:c r="H28" s="15" t="str">
        <x:v>TC-CART-005, TC-CART-008</x:v>
      </x:c>
      <x:c r="I28" s="15" t="str">
        <x:v>Covered</x:v>
      </x:c>
      <x:c r="J28" s="15" t="str">
        <x:v>Pass</x:v>
      </x:c>
      <x:c r="K28" s="15" t="str">
        <x:v>High</x:v>
      </x:c>
      <x:c r="L28" s="15" t="str">
        <x:v>Planned</x:v>
      </x:c>
      <x:c r="M28" s="15" t="str"/>
    </x:row>
    <x:row r="29">
      <x:c r="A29" s="15" t="str">
        <x:v>REQ-CHKINFO-001</x:v>
      </x:c>
      <x:c r="B29" s="15" t="str">
        <x:v>MOD-05</x:v>
      </x:c>
      <x:c r="C29" s="15" t="str">
        <x:v>Checkout — Customer Information</x:v>
      </x:c>
      <x:c r="D29" s="15" t="str">
        <x:v>The checkout information page provides a First Name field.</x:v>
      </x:c>
      <x:c r="E29" s="15" t="str">
        <x:v>SDQA-7</x:v>
      </x:c>
      <x:c r="F29" s="15" t="str">
        <x:v>Checkout — Customer Information</x:v>
      </x:c>
      <x:c r="G29" s="15" t="str">
        <x:v>TS-CHKINFO-001, TS-CHKINFO-006</x:v>
      </x:c>
      <x:c r="H29" s="15" t="str">
        <x:v>TC-CHKINFO-001, TC-CHKINFO-006</x:v>
      </x:c>
      <x:c r="I29" s="15" t="str">
        <x:v>Covered</x:v>
      </x:c>
      <x:c r="J29" s="15" t="str">
        <x:v>Pass</x:v>
      </x:c>
      <x:c r="K29" s="15" t="str">
        <x:v>Medium</x:v>
      </x:c>
      <x:c r="L29" s="15" t="str">
        <x:v>Planned</x:v>
      </x:c>
      <x:c r="M29" s="15" t="str"/>
    </x:row>
    <x:row r="30">
      <x:c r="A30" s="15" t="str">
        <x:v>REQ-CHKINFO-002</x:v>
      </x:c>
      <x:c r="B30" s="15" t="str">
        <x:v>MOD-05</x:v>
      </x:c>
      <x:c r="C30" s="15" t="str">
        <x:v>Checkout — Customer Information</x:v>
      </x:c>
      <x:c r="D30" s="15" t="str">
        <x:v>The checkout information page provides a Last Name field.</x:v>
      </x:c>
      <x:c r="E30" s="15" t="str">
        <x:v>SDQA-7</x:v>
      </x:c>
      <x:c r="F30" s="15" t="str">
        <x:v>Checkout — Customer Information</x:v>
      </x:c>
      <x:c r="G30" s="15" t="str">
        <x:v>TS-CHKINFO-001, TS-CHKINFO-006</x:v>
      </x:c>
      <x:c r="H30" s="15" t="str">
        <x:v>TC-CHKINFO-001, TC-CHKINFO-006</x:v>
      </x:c>
      <x:c r="I30" s="15" t="str">
        <x:v>Covered</x:v>
      </x:c>
      <x:c r="J30" s="15" t="str">
        <x:v>Pass</x:v>
      </x:c>
      <x:c r="K30" s="15" t="str">
        <x:v>Medium</x:v>
      </x:c>
      <x:c r="L30" s="15" t="str">
        <x:v>Planned</x:v>
      </x:c>
      <x:c r="M30" s="15" t="str"/>
    </x:row>
    <x:row r="31">
      <x:c r="A31" s="15" t="str">
        <x:v>REQ-CHKINFO-003</x:v>
      </x:c>
      <x:c r="B31" s="15" t="str">
        <x:v>MOD-05</x:v>
      </x:c>
      <x:c r="C31" s="15" t="str">
        <x:v>Checkout — Customer Information</x:v>
      </x:c>
      <x:c r="D31" s="15" t="str">
        <x:v>The checkout information page provides a Postal Code field.</x:v>
      </x:c>
      <x:c r="E31" s="15" t="str">
        <x:v>SDQA-7</x:v>
      </x:c>
      <x:c r="F31" s="15" t="str">
        <x:v>Checkout — Customer Information</x:v>
      </x:c>
      <x:c r="G31" s="15" t="str">
        <x:v>TS-CHKINFO-001, TS-CHKINFO-006</x:v>
      </x:c>
      <x:c r="H31" s="15" t="str">
        <x:v>TC-CHKINFO-001, TC-CHKINFO-006</x:v>
      </x:c>
      <x:c r="I31" s="15" t="str">
        <x:v>Covered</x:v>
      </x:c>
      <x:c r="J31" s="15" t="str">
        <x:v>Pass</x:v>
      </x:c>
      <x:c r="K31" s="15" t="str">
        <x:v>Medium</x:v>
      </x:c>
      <x:c r="L31" s="15" t="str">
        <x:v>Planned</x:v>
      </x:c>
      <x:c r="M31" s="15" t="str"/>
    </x:row>
    <x:row r="32">
      <x:c r="A32" s="15" t="str">
        <x:v>REQ-CHKINFO-004</x:v>
      </x:c>
      <x:c r="B32" s="15" t="str">
        <x:v>MOD-05</x:v>
      </x:c>
      <x:c r="C32" s="15" t="str">
        <x:v>Checkout — Customer Information</x:v>
      </x:c>
      <x:c r="D32" s="15" t="str">
        <x:v>Checkout progression is prevented when required customer information is missing.</x:v>
      </x:c>
      <x:c r="E32" s="15" t="str">
        <x:v>SDQA-7</x:v>
      </x:c>
      <x:c r="F32" s="15" t="str">
        <x:v>Checkout — Customer Information</x:v>
      </x:c>
      <x:c r="G32" s="15" t="str">
        <x:v>TS-CHKINFO-002, TS-CHKINFO-003, TS-CHKINFO-004, TS-CHKINFO-005, TS-CHKINFO-008, TS-CHKINFO-009</x:v>
      </x:c>
      <x:c r="H32" s="15" t="str">
        <x:v>TC-CHKINFO-002, TC-CHKINFO-003, TC-CHKINFO-004, TC-CHKINFO-005, TC-CHKINFO-008, TC-CHKINFO-009</x:v>
      </x:c>
      <x:c r="I32" s="15" t="str">
        <x:v>Covered</x:v>
      </x:c>
      <x:c r="J32" s="15" t="str">
        <x:v>Pass</x:v>
      </x:c>
      <x:c r="K32" s="15" t="str">
        <x:v>High</x:v>
      </x:c>
      <x:c r="L32" s="15" t="str">
        <x:v>Planned</x:v>
      </x:c>
      <x:c r="M32" s="15" t="str"/>
    </x:row>
    <x:row r="33">
      <x:c r="A33" s="15" t="str">
        <x:v>REQ-CHKINFO-005</x:v>
      </x:c>
      <x:c r="B33" s="15" t="str">
        <x:v>MOD-05</x:v>
      </x:c>
      <x:c r="C33" s="15" t="str">
        <x:v>Checkout — Customer Information</x:v>
      </x:c>
      <x:c r="D33" s="15" t="str">
        <x:v>An appropriate validation message is displayed when required information is missing.</x:v>
      </x:c>
      <x:c r="E33" s="15" t="str">
        <x:v>SDQA-7</x:v>
      </x:c>
      <x:c r="F33" s="15" t="str">
        <x:v>Checkout — Customer Information</x:v>
      </x:c>
      <x:c r="G33" s="15" t="str">
        <x:v>TS-CHKINFO-002, TS-CHKINFO-003, TS-CHKINFO-004, TS-CHKINFO-005, TS-CHKINFO-008, TS-CHKINFO-009</x:v>
      </x:c>
      <x:c r="H33" s="15" t="str">
        <x:v>TC-CHKINFO-002, TC-CHKINFO-003, TC-CHKINFO-004, TC-CHKINFO-005, TC-CHKINFO-008, TC-CHKINFO-009</x:v>
      </x:c>
      <x:c r="I33" s="15" t="str">
        <x:v>Covered</x:v>
      </x:c>
      <x:c r="J33" s="15" t="str">
        <x:v>Pass</x:v>
      </x:c>
      <x:c r="K33" s="15" t="str">
        <x:v>High</x:v>
      </x:c>
      <x:c r="L33" s="15" t="str">
        <x:v>Planned</x:v>
      </x:c>
      <x:c r="M33" s="15" t="str"/>
    </x:row>
    <x:row r="34">
      <x:c r="A34" s="15" t="str">
        <x:v>REQ-CHKINFO-006</x:v>
      </x:c>
      <x:c r="B34" s="15" t="str">
        <x:v>MOD-05</x:v>
      </x:c>
      <x:c r="C34" s="15" t="str">
        <x:v>Checkout — Customer Information</x:v>
      </x:c>
      <x:c r="D34" s="15" t="str">
        <x:v>Valid required information allows the user to continue to checkout overview.</x:v>
      </x:c>
      <x:c r="E34" s="15" t="str">
        <x:v>SDQA-7</x:v>
      </x:c>
      <x:c r="F34" s="15" t="str">
        <x:v>Checkout — Customer Information</x:v>
      </x:c>
      <x:c r="G34" s="15" t="str">
        <x:v>TS-CHKINFO-001</x:v>
      </x:c>
      <x:c r="H34" s="15" t="str">
        <x:v>TC-CHKINFO-001</x:v>
      </x:c>
      <x:c r="I34" s="15" t="str">
        <x:v>Covered</x:v>
      </x:c>
      <x:c r="J34" s="15" t="str">
        <x:v>Pass</x:v>
      </x:c>
      <x:c r="K34" s="15" t="str">
        <x:v>High</x:v>
      </x:c>
      <x:c r="L34" s="15" t="str">
        <x:v>Planned</x:v>
      </x:c>
      <x:c r="M34" s="15" t="str"/>
    </x:row>
    <x:row r="35">
      <x:c r="A35" s="15" t="str">
        <x:v>REQ-CHKINFO-007</x:v>
      </x:c>
      <x:c r="B35" s="15" t="str">
        <x:v>MOD-05</x:v>
      </x:c>
      <x:c r="C35" s="15" t="str">
        <x:v>Checkout — Customer Information</x:v>
      </x:c>
      <x:c r="D35" s="15" t="str">
        <x:v>Cancel returns the user from checkout information to the shopping cart.</x:v>
      </x:c>
      <x:c r="E35" s="15" t="str">
        <x:v>SDQA-7</x:v>
      </x:c>
      <x:c r="F35" s="15" t="str">
        <x:v>Checkout — Customer Information</x:v>
      </x:c>
      <x:c r="G35" s="15" t="str">
        <x:v>TS-CHKINFO-007</x:v>
      </x:c>
      <x:c r="H35" s="15" t="str">
        <x:v>TC-CHKINFO-007</x:v>
      </x:c>
      <x:c r="I35" s="15" t="str">
        <x:v>Covered</x:v>
      </x:c>
      <x:c r="J35" s="15" t="str">
        <x:v>Pass</x:v>
      </x:c>
      <x:c r="K35" s="15" t="str">
        <x:v>High</x:v>
      </x:c>
      <x:c r="L35" s="15" t="str">
        <x:v>Planned</x:v>
      </x:c>
      <x:c r="M35" s="15" t="str"/>
    </x:row>
    <x:row r="36">
      <x:c r="A36" s="15" t="str">
        <x:v>REQ-CHKOV-001</x:v>
      </x:c>
      <x:c r="B36" s="15" t="str">
        <x:v>MOD-06</x:v>
      </x:c>
      <x:c r="C36" s="15" t="str">
        <x:v>Checkout — Order Overview</x:v>
      </x:c>
      <x:c r="D36" s="15" t="str">
        <x:v>The checkout overview displays products included in the order.</x:v>
      </x:c>
      <x:c r="E36" s="15" t="str">
        <x:v>SDQA-8</x:v>
      </x:c>
      <x:c r="F36" s="15" t="str">
        <x:v>Checkout — Order Overview</x:v>
      </x:c>
      <x:c r="G36" s="15" t="str">
        <x:v>TS-CHKOV-001</x:v>
      </x:c>
      <x:c r="H36" s="15" t="str">
        <x:v>TC-CHKOV-001</x:v>
      </x:c>
      <x:c r="I36" s="15" t="str">
        <x:v>Covered</x:v>
      </x:c>
      <x:c r="J36" s="15" t="str">
        <x:v>Pass</x:v>
      </x:c>
      <x:c r="K36" s="15" t="str">
        <x:v>High</x:v>
      </x:c>
      <x:c r="L36" s="15" t="str">
        <x:v>Planned</x:v>
      </x:c>
      <x:c r="M36" s="15" t="str"/>
    </x:row>
    <x:row r="37">
      <x:c r="A37" s="15" t="str">
        <x:v>REQ-CHKOV-002</x:v>
      </x:c>
      <x:c r="B37" s="15" t="str">
        <x:v>MOD-06</x:v>
      </x:c>
      <x:c r="C37" s="15" t="str">
        <x:v>Checkout — Order Overview</x:v>
      </x:c>
      <x:c r="D37" s="15" t="str">
        <x:v>The checkout overview displays pricing corresponding to selected products.</x:v>
      </x:c>
      <x:c r="E37" s="15" t="str">
        <x:v>SDQA-8</x:v>
      </x:c>
      <x:c r="F37" s="15" t="str">
        <x:v>Checkout — Order Overview</x:v>
      </x:c>
      <x:c r="G37" s="15" t="str">
        <x:v>TS-CHKOV-002</x:v>
      </x:c>
      <x:c r="H37" s="15" t="str">
        <x:v>TC-CHKOV-002</x:v>
      </x:c>
      <x:c r="I37" s="15" t="str">
        <x:v>Covered</x:v>
      </x:c>
      <x:c r="J37" s="15" t="str">
        <x:v>Pass</x:v>
      </x:c>
      <x:c r="K37" s="15" t="str">
        <x:v>High</x:v>
      </x:c>
      <x:c r="L37" s="15" t="str">
        <x:v>Planned</x:v>
      </x:c>
      <x:c r="M37" s="15" t="str"/>
    </x:row>
    <x:row r="38">
      <x:c r="A38" s="15" t="str">
        <x:v>REQ-CHKOV-003</x:v>
      </x:c>
      <x:c r="B38" s="15" t="str">
        <x:v>MOD-06</x:v>
      </x:c>
      <x:c r="C38" s="15" t="str">
        <x:v>Checkout — Order Overview</x:v>
      </x:c>
      <x:c r="D38" s="15" t="str">
        <x:v>The checkout overview displays a correct item subtotal.</x:v>
      </x:c>
      <x:c r="E38" s="15" t="str">
        <x:v>SDQA-8</x:v>
      </x:c>
      <x:c r="F38" s="15" t="str">
        <x:v>Checkout — Order Overview</x:v>
      </x:c>
      <x:c r="G38" s="15" t="str">
        <x:v>TS-CHKOV-003, TS-CHKOV-005</x:v>
      </x:c>
      <x:c r="H38" s="15" t="str">
        <x:v>TC-CHKOV-003, TC-CHKOV-005</x:v>
      </x:c>
      <x:c r="I38" s="15" t="str">
        <x:v>Covered</x:v>
      </x:c>
      <x:c r="J38" s="15" t="str">
        <x:v>Pass</x:v>
      </x:c>
      <x:c r="K38" s="15" t="str">
        <x:v>High</x:v>
      </x:c>
      <x:c r="L38" s="15" t="str">
        <x:v>Planned</x:v>
      </x:c>
      <x:c r="M38" s="15" t="str"/>
    </x:row>
    <x:row r="39">
      <x:c r="A39" s="15" t="str">
        <x:v>REQ-CHKOV-004</x:v>
      </x:c>
      <x:c r="B39" s="15" t="str">
        <x:v>MOD-06</x:v>
      </x:c>
      <x:c r="C39" s="15" t="str">
        <x:v>Checkout — Order Overview</x:v>
      </x:c>
      <x:c r="D39" s="15" t="str">
        <x:v>The checkout overview displays tax separately.</x:v>
      </x:c>
      <x:c r="E39" s="15" t="str">
        <x:v>SDQA-8</x:v>
      </x:c>
      <x:c r="F39" s="15" t="str">
        <x:v>Checkout — Order Overview</x:v>
      </x:c>
      <x:c r="G39" s="15" t="str">
        <x:v>TS-CHKOV-004, TS-CHKOV-005</x:v>
      </x:c>
      <x:c r="H39" s="15" t="str">
        <x:v>TC-CHKOV-004, TC-CHKOV-005</x:v>
      </x:c>
      <x:c r="I39" s="15" t="str">
        <x:v>Covered</x:v>
      </x:c>
      <x:c r="J39" s="15" t="str">
        <x:v>Pass</x:v>
      </x:c>
      <x:c r="K39" s="15" t="str">
        <x:v>Medium</x:v>
      </x:c>
      <x:c r="L39" s="15" t="str">
        <x:v>Planned</x:v>
      </x:c>
      <x:c r="M39" s="15" t="str"/>
    </x:row>
    <x:row r="40">
      <x:c r="A40" s="15" t="str">
        <x:v>REQ-CHKOV-005</x:v>
      </x:c>
      <x:c r="B40" s="15" t="str">
        <x:v>MOD-06</x:v>
      </x:c>
      <x:c r="C40" s="15" t="str">
        <x:v>Checkout — Order Overview</x:v>
      </x:c>
      <x:c r="D40" s="15" t="str">
        <x:v>The checkout overview displays a final total consistent with subtotal plus tax.</x:v>
      </x:c>
      <x:c r="E40" s="15" t="str">
        <x:v>SDQA-8</x:v>
      </x:c>
      <x:c r="F40" s="15" t="str">
        <x:v>Checkout — Order Overview</x:v>
      </x:c>
      <x:c r="G40" s="15" t="str">
        <x:v>TS-CHKOV-005</x:v>
      </x:c>
      <x:c r="H40" s="15" t="str">
        <x:v>TC-CHKOV-005</x:v>
      </x:c>
      <x:c r="I40" s="15" t="str">
        <x:v>Covered</x:v>
      </x:c>
      <x:c r="J40" s="15" t="str">
        <x:v>Pass</x:v>
      </x:c>
      <x:c r="K40" s="15" t="str">
        <x:v>High</x:v>
      </x:c>
      <x:c r="L40" s="15" t="str">
        <x:v>Planned</x:v>
      </x:c>
      <x:c r="M40" s="15" t="str"/>
    </x:row>
    <x:row r="41">
      <x:c r="A41" s="15" t="str">
        <x:v>REQ-CHKOV-006</x:v>
      </x:c>
      <x:c r="B41" s="15" t="str">
        <x:v>MOD-06</x:v>
      </x:c>
      <x:c r="C41" s="15" t="str">
        <x:v>Checkout — Order Overview</x:v>
      </x:c>
      <x:c r="D41" s="15" t="str">
        <x:v>The user can finish the order from checkout overview.</x:v>
      </x:c>
      <x:c r="E41" s="15" t="str">
        <x:v>SDQA-8</x:v>
      </x:c>
      <x:c r="F41" s="15" t="str">
        <x:v>Checkout — Order Overview</x:v>
      </x:c>
      <x:c r="G41" s="15" t="str">
        <x:v>TS-CHKOV-006</x:v>
      </x:c>
      <x:c r="H41" s="15" t="str">
        <x:v>TC-CHKOV-006</x:v>
      </x:c>
      <x:c r="I41" s="15" t="str">
        <x:v>Covered</x:v>
      </x:c>
      <x:c r="J41" s="15" t="str">
        <x:v>Pass</x:v>
      </x:c>
      <x:c r="K41" s="15" t="str">
        <x:v>High</x:v>
      </x:c>
      <x:c r="L41" s="15" t="str">
        <x:v>Planned</x:v>
      </x:c>
      <x:c r="M41" s="15" t="str"/>
    </x:row>
    <x:row r="42">
      <x:c r="A42" s="15" t="str">
        <x:v>REQ-CHKOV-007</x:v>
      </x:c>
      <x:c r="B42" s="15" t="str">
        <x:v>MOD-06</x:v>
      </x:c>
      <x:c r="C42" s="15" t="str">
        <x:v>Checkout — Order Overview</x:v>
      </x:c>
      <x:c r="D42" s="15" t="str">
        <x:v>The user can cancel from checkout overview without completing the order.</x:v>
      </x:c>
      <x:c r="E42" s="15" t="str">
        <x:v>SDQA-8</x:v>
      </x:c>
      <x:c r="F42" s="15" t="str">
        <x:v>Checkout — Order Overview</x:v>
      </x:c>
      <x:c r="G42" s="15" t="str">
        <x:v>TS-CHKOV-007</x:v>
      </x:c>
      <x:c r="H42" s="15" t="str">
        <x:v>TC-CHKOV-007</x:v>
      </x:c>
      <x:c r="I42" s="15" t="str">
        <x:v>Covered</x:v>
      </x:c>
      <x:c r="J42" s="15" t="str">
        <x:v>Pass</x:v>
      </x:c>
      <x:c r="K42" s="15" t="str">
        <x:v>High</x:v>
      </x:c>
      <x:c r="L42" s="15" t="str">
        <x:v>Planned</x:v>
      </x:c>
      <x:c r="M42" s="15" t="str"/>
    </x:row>
    <x:row r="43">
      <x:c r="A43" s="15" t="str">
        <x:v>REQ-ORDER-001</x:v>
      </x:c>
      <x:c r="B43" s="15" t="str">
        <x:v>MOD-07</x:v>
      </x:c>
      <x:c r="C43" s="15" t="str">
        <x:v>Order Completion</x:v>
      </x:c>
      <x:c r="D43" s="15" t="str">
        <x:v>A dedicated order-completion page is displayed after a valid checkout is finished.</x:v>
      </x:c>
      <x:c r="E43" s="15" t="str">
        <x:v>SDQA-9</x:v>
      </x:c>
      <x:c r="F43" s="15" t="str">
        <x:v>Order Completion</x:v>
      </x:c>
      <x:c r="G43" s="15" t="str">
        <x:v>TS-ORDER-001</x:v>
      </x:c>
      <x:c r="H43" s="15" t="str">
        <x:v>TC-ORDER-001</x:v>
      </x:c>
      <x:c r="I43" s="15" t="str">
        <x:v>Covered</x:v>
      </x:c>
      <x:c r="J43" s="15" t="str">
        <x:v>Pass</x:v>
      </x:c>
      <x:c r="K43" s="15" t="str">
        <x:v>High</x:v>
      </x:c>
      <x:c r="L43" s="15" t="str">
        <x:v>Planned</x:v>
      </x:c>
      <x:c r="M43" s="15" t="str"/>
    </x:row>
    <x:row r="44">
      <x:c r="A44" s="15" t="str">
        <x:v>REQ-ORDER-002</x:v>
      </x:c>
      <x:c r="B44" s="15" t="str">
        <x:v>MOD-07</x:v>
      </x:c>
      <x:c r="C44" s="15" t="str">
        <x:v>Order Completion</x:v>
      </x:c>
      <x:c r="D44" s="15" t="str">
        <x:v>Successful order completion is clearly communicated to the user.</x:v>
      </x:c>
      <x:c r="E44" s="15" t="str">
        <x:v>SDQA-9</x:v>
      </x:c>
      <x:c r="F44" s="15" t="str">
        <x:v>Order Completion</x:v>
      </x:c>
      <x:c r="G44" s="15" t="str">
        <x:v>TS-ORDER-002</x:v>
      </x:c>
      <x:c r="H44" s="15" t="str">
        <x:v>TC-ORDER-002</x:v>
      </x:c>
      <x:c r="I44" s="15" t="str">
        <x:v>Covered</x:v>
      </x:c>
      <x:c r="J44" s="15" t="str">
        <x:v>Pass</x:v>
      </x:c>
      <x:c r="K44" s="15" t="str">
        <x:v>High</x:v>
      </x:c>
      <x:c r="L44" s="15" t="str">
        <x:v>Planned</x:v>
      </x:c>
      <x:c r="M44" s="15" t="str"/>
    </x:row>
    <x:row r="45">
      <x:c r="A45" s="15" t="str">
        <x:v>REQ-ORDER-003</x:v>
      </x:c>
      <x:c r="B45" s="15" t="str">
        <x:v>MOD-07</x:v>
      </x:c>
      <x:c r="C45" s="15" t="str">
        <x:v>Order Completion</x:v>
      </x:c>
      <x:c r="D45" s="15" t="str">
        <x:v>The user can return to the Products inventory after order completion.</x:v>
      </x:c>
      <x:c r="E45" s="15" t="str">
        <x:v>SDQA-9</x:v>
      </x:c>
      <x:c r="F45" s="15" t="str">
        <x:v>Order Completion</x:v>
      </x:c>
      <x:c r="G45" s="15" t="str">
        <x:v>TS-ORDER-003</x:v>
      </x:c>
      <x:c r="H45" s="15" t="str">
        <x:v>TC-ORDER-003</x:v>
      </x:c>
      <x:c r="I45" s="15" t="str">
        <x:v>Covered</x:v>
      </x:c>
      <x:c r="J45" s="15" t="str">
        <x:v>Pass</x:v>
      </x:c>
      <x:c r="K45" s="15" t="str">
        <x:v>Medium</x:v>
      </x:c>
      <x:c r="L45" s="15" t="str">
        <x:v>Planned</x:v>
      </x:c>
      <x:c r="M45" s="15" t="str"/>
    </x:row>
    <x:row r="46">
      <x:c r="A46" s="15" t="str">
        <x:v>REQ-NAV-001</x:v>
      </x:c>
      <x:c r="B46" s="15" t="str">
        <x:v>MOD-08</x:v>
      </x:c>
      <x:c r="C46" s="15" t="str">
        <x:v>Navigation, Menu &amp; Session</x:v>
      </x:c>
      <x:c r="D46" s="15" t="str">
        <x:v>An authenticated user can open the application navigation menu.</x:v>
      </x:c>
      <x:c r="E46" s="15" t="str">
        <x:v>SDQA-10</x:v>
      </x:c>
      <x:c r="F46" s="15" t="str">
        <x:v>Navigation, Menu and Session</x:v>
      </x:c>
      <x:c r="G46" s="15" t="str">
        <x:v>TS-NAV-001</x:v>
      </x:c>
      <x:c r="H46" s="15" t="str">
        <x:v>TC-NAV-001</x:v>
      </x:c>
      <x:c r="I46" s="15" t="str">
        <x:v>Covered</x:v>
      </x:c>
      <x:c r="J46" s="15" t="str">
        <x:v>Pass</x:v>
      </x:c>
      <x:c r="K46" s="15" t="str">
        <x:v>Medium</x:v>
      </x:c>
      <x:c r="L46" s="15" t="str">
        <x:v>Planned</x:v>
      </x:c>
      <x:c r="M46" s="15" t="str"/>
    </x:row>
    <x:row r="47">
      <x:c r="A47" s="15" t="str">
        <x:v>REQ-NAV-002</x:v>
      </x:c>
      <x:c r="B47" s="15" t="str">
        <x:v>MOD-08</x:v>
      </x:c>
      <x:c r="C47" s="15" t="str">
        <x:v>Navigation, Menu &amp; Session</x:v>
      </x:c>
      <x:c r="D47" s="15" t="str">
        <x:v>All Items navigates the user to the Products inventory.</x:v>
      </x:c>
      <x:c r="E47" s="15" t="str">
        <x:v>SDQA-10</x:v>
      </x:c>
      <x:c r="F47" s="15" t="str">
        <x:v>Navigation, Menu and Session</x:v>
      </x:c>
      <x:c r="G47" s="15" t="str">
        <x:v>TS-NAV-002</x:v>
      </x:c>
      <x:c r="H47" s="15" t="str">
        <x:v>TC-NAV-002</x:v>
      </x:c>
      <x:c r="I47" s="15" t="str">
        <x:v>Covered</x:v>
      </x:c>
      <x:c r="J47" s="15" t="str">
        <x:v>Pass</x:v>
      </x:c>
      <x:c r="K47" s="15" t="str">
        <x:v>Medium</x:v>
      </x:c>
      <x:c r="L47" s="15" t="str">
        <x:v>Planned</x:v>
      </x:c>
      <x:c r="M47" s="15" t="str"/>
    </x:row>
    <x:row r="48">
      <x:c r="A48" s="15" t="str">
        <x:v>REQ-NAV-003</x:v>
      </x:c>
      <x:c r="B48" s="15" t="str">
        <x:v>MOD-08</x:v>
      </x:c>
      <x:c r="C48" s="15" t="str">
        <x:v>Navigation, Menu &amp; Session</x:v>
      </x:c>
      <x:c r="D48" s="15" t="str">
        <x:v>About navigates to the configured external destination.</x:v>
      </x:c>
      <x:c r="E48" s="15" t="str">
        <x:v>SDQA-10</x:v>
      </x:c>
      <x:c r="F48" s="15" t="str">
        <x:v>Navigation, Menu and Session</x:v>
      </x:c>
      <x:c r="G48" s="15" t="str">
        <x:v>TS-NAV-003</x:v>
      </x:c>
      <x:c r="H48" s="15" t="str">
        <x:v>TC-NAV-003</x:v>
      </x:c>
      <x:c r="I48" s="15" t="str">
        <x:v>Covered</x:v>
      </x:c>
      <x:c r="J48" s="15" t="str">
        <x:v>Pass</x:v>
      </x:c>
      <x:c r="K48" s="15" t="str">
        <x:v>Low</x:v>
      </x:c>
      <x:c r="L48" s="15" t="str">
        <x:v>Planned</x:v>
      </x:c>
      <x:c r="M48" s="15" t="str">
        <x:v>External destination may be less stable than core application flows.</x:v>
      </x:c>
    </x:row>
    <x:row r="49">
      <x:c r="A49" s="15" t="str">
        <x:v>REQ-NAV-004</x:v>
      </x:c>
      <x:c r="B49" s="15" t="str">
        <x:v>MOD-08</x:v>
      </x:c>
      <x:c r="C49" s="15" t="str">
        <x:v>Navigation, Menu &amp; Session</x:v>
      </x:c>
      <x:c r="D49" s="15" t="str">
        <x:v>Reset App State clears the user's current application state.</x:v>
      </x:c>
      <x:c r="E49" s="15" t="str">
        <x:v>SDQA-10</x:v>
      </x:c>
      <x:c r="F49" s="15" t="str">
        <x:v>Navigation, Menu and Session</x:v>
      </x:c>
      <x:c r="G49" s="15" t="str">
        <x:v>TS-NAV-004</x:v>
      </x:c>
      <x:c r="H49" s="15" t="str">
        <x:v>TC-NAV-004</x:v>
      </x:c>
      <x:c r="I49" s="15" t="str">
        <x:v>Covered</x:v>
      </x:c>
      <x:c r="J49" s="15" t="str">
        <x:v>Pass</x:v>
      </x:c>
      <x:c r="K49" s="15" t="str">
        <x:v>High</x:v>
      </x:c>
      <x:c r="L49" s="15" t="str">
        <x:v>Planned</x:v>
      </x:c>
      <x:c r="M49" s="15" t="str"/>
    </x:row>
    <x:row r="50">
      <x:c r="A50" s="15" t="str">
        <x:v>REQ-NAV-005</x:v>
      </x:c>
      <x:c r="B50" s="15" t="str">
        <x:v>MOD-08</x:v>
      </x:c>
      <x:c r="C50" s="15" t="str">
        <x:v>Navigation, Menu &amp; Session</x:v>
      </x:c>
      <x:c r="D50" s="15" t="str">
        <x:v>An authenticated user can log out successfully.</x:v>
      </x:c>
      <x:c r="E50" s="15" t="str">
        <x:v>SDQA-10</x:v>
      </x:c>
      <x:c r="F50" s="15" t="str">
        <x:v>Navigation, Menu and Session</x:v>
      </x:c>
      <x:c r="G50" s="15" t="str">
        <x:v>TS-NAV-005</x:v>
      </x:c>
      <x:c r="H50" s="15" t="str">
        <x:v>TC-NAV-005</x:v>
      </x:c>
      <x:c r="I50" s="15" t="str">
        <x:v>Covered</x:v>
      </x:c>
      <x:c r="J50" s="15" t="str">
        <x:v>Pass</x:v>
      </x:c>
      <x:c r="K50" s="15" t="str">
        <x:v>High</x:v>
      </x:c>
      <x:c r="L50" s="15" t="str">
        <x:v>Planned</x:v>
      </x:c>
      <x:c r="M50" s="15" t="str"/>
    </x:row>
    <x:row r="51">
      <x:c r="A51" s="15" t="str">
        <x:v>REQ-NAV-006</x:v>
      </x:c>
      <x:c r="B51" s="15" t="str">
        <x:v>MOD-08</x:v>
      </x:c>
      <x:c r="C51" s="15" t="str">
        <x:v>Navigation, Menu &amp; Session</x:v>
      </x:c>
      <x:c r="D51" s="15" t="str">
        <x:v>A logged-out user cannot regain normal authenticated access without logging in again.</x:v>
      </x:c>
      <x:c r="E51" s="15" t="str">
        <x:v>SDQA-10</x:v>
      </x:c>
      <x:c r="F51" s="15" t="str">
        <x:v>Navigation, Menu and Session</x:v>
      </x:c>
      <x:c r="G51" s="15" t="str">
        <x:v>TS-NAV-006</x:v>
      </x:c>
      <x:c r="H51" s="15" t="str">
        <x:v>TC-NAV-006</x:v>
      </x:c>
      <x:c r="I51" s="15" t="str">
        <x:v>Covered</x:v>
      </x:c>
      <x:c r="J51" s="15" t="str">
        <x:v>Pass</x:v>
      </x:c>
      <x:c r="K51" s="15" t="str">
        <x:v>High</x:v>
      </x:c>
      <x:c r="L51" s="15" t="str">
        <x:v>Planned</x:v>
      </x:c>
      <x:c r="M51" s="15" t="str"/>
    </x:row>
  </x:sheetData>
  <x:conditionalFormatting sqref="J2:J51">
    <x:cfRule type="expression" dxfId="0" priority="1">
      <x:formula>J2="Pass"</x:formula>
    </x:cfRule>
    <x:cfRule type="expression" dxfId="1" priority="2">
      <x:formula>J2="Fail"</x:formula>
    </x:cfRule>
  </x:conditionalFormatting>
  <x:conditionalFormatting sqref="K2:K51">
    <x:cfRule type="expression" dxfId="2" priority="3">
      <x:formula>K2="High"</x:formula>
    </x:cfRule>
  </x:conditionalFormatting>
  <x:conditionalFormatting sqref="L2:L51">
    <x:cfRule type="expression" dxfId="3" priority="4">
      <x:formula>L2="Automated"</x:formula>
    </x:cfRule>
  </x:conditionalFormatting>
  <x:dataValidations count="3">
    <x:dataValidation type="list" sqref="J2:J51">
      <x:formula1>"Pass,Fail,Blocked,Not Run"</x:formula1>
    </x:dataValidation>
    <x:dataValidation type="list" sqref="K2:K51">
      <x:formula1>"High,Medium,Low"</x:formula1>
    </x:dataValidation>
    <x:dataValidation type="list" sqref="L2:L51">
      <x:formula1>"Planned,Automated,Not Planned"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cca1e1151e4c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1" t="str">
        <x:v>SauceDemo Requirements Traceability Matrix — Summary</x:v>
      </x:c>
      <x:c r="B1" s="21"/>
      <x:c r="C1" s="21"/>
      <x:c r="D1" s="21"/>
      <x:c r="E1" s="21"/>
      <x:c r="F1" s="21"/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4">
      <x:c r="A4" s="10" t="str">
        <x:v>KPI</x:v>
      </x:c>
      <x:c r="B4" s="10" t="str">
        <x:v>Value</x:v>
      </x:c>
      <x:c r="D4" s="5" t="str">
        <x:v>How to use this workbook</x:v>
      </x:c>
      <x:c r="E4" s="5"/>
      <x:c r="F4" s="5"/>
      <x:c r="G4" s="5"/>
      <x:c r="H4" s="5"/>
    </x:row>
    <x:row r="5">
      <x:c r="A5" s="11" t="str">
        <x:v>Total Requirements</x:v>
      </x:c>
      <x:c r="B5" s="11" t="n">
        <x:f>COUNTA(RTM!A2:A200)</x:f>
        <x:v>50</x:v>
      </x:c>
      <x:c r="D5" s="11" t="str">
        <x:v>The RTM is the master traceability view: Requirement → Jira Story → Scenario → Test Case → Manual Result → Automation plan. Store this file in GitHub under reports/traceability/. Update any Manual Result that differs from Pass and change Automation Status from Planned to Automated as Selenium coverage is added.</x:v>
      </x:c>
      <x:c r="E5" s="11"/>
      <x:c r="F5" s="11"/>
      <x:c r="G5" s="11"/>
      <x:c r="H5" s="11"/>
    </x:row>
    <x:row r="6">
      <x:c r="A6" s="11" t="str">
        <x:v>Mapped Requirements</x:v>
      </x:c>
      <x:c r="B6" s="11" t="n">
        <x:f>COUNTIF(RTM!G2:G200,"&lt;&gt;")</x:f>
        <x:v>50</x:v>
      </x:c>
      <x:c r="D6" s="11"/>
      <x:c r="E6" s="11"/>
      <x:c r="F6" s="11"/>
      <x:c r="G6" s="11"/>
      <x:c r="H6" s="11"/>
    </x:row>
    <x:row r="7">
      <x:c r="A7" s="11" t="str">
        <x:v>Manual Coverage</x:v>
      </x:c>
      <x:c r="B7" s="28" t="n">
        <x:f>B6/B5</x:f>
        <x:v>1</x:v>
      </x:c>
      <x:c r="D7" s="11"/>
      <x:c r="E7" s="11"/>
      <x:c r="F7" s="11"/>
      <x:c r="G7" s="11"/>
      <x:c r="H7" s="11"/>
    </x:row>
    <x:row r="8">
      <x:c r="A8" s="11" t="str">
        <x:v>Passed Requirements</x:v>
      </x:c>
      <x:c r="B8" s="11" t="n">
        <x:f>COUNTIF(RTM!J2:J200,"Pass")</x:f>
        <x:v>50</x:v>
      </x:c>
      <x:c r="D8" s="11"/>
      <x:c r="E8" s="11"/>
      <x:c r="F8" s="11"/>
      <x:c r="G8" s="11"/>
      <x:c r="H8" s="11"/>
    </x:row>
    <x:row r="9">
      <x:c r="A9" s="11" t="str">
        <x:v>High Automation Priority</x:v>
      </x:c>
      <x:c r="B9" s="11" t="n">
        <x:f>COUNTIF(RTM!K2:K200,"High")</x:f>
        <x:v>34</x:v>
      </x:c>
      <x:c r="D9" s="11"/>
      <x:c r="E9" s="11"/>
      <x:c r="F9" s="11"/>
      <x:c r="G9" s="11"/>
      <x:c r="H9" s="11"/>
    </x:row>
    <x:row r="12">
      <x:c r="A12" s="10" t="str">
        <x:v>Module ID</x:v>
      </x:c>
      <x:c r="B12" s="10" t="str">
        <x:v>Module</x:v>
      </x:c>
      <x:c r="C12" s="10" t="str">
        <x:v>Requirements</x:v>
      </x:c>
      <x:c r="D12" s="10" t="str">
        <x:v>Test Cases</x:v>
      </x:c>
      <x:c r="E12" s="10" t="str">
        <x:v>Jira Key</x:v>
      </x:c>
    </x:row>
    <x:row r="13">
      <x:c r="A13" s="11" t="str">
        <x:v>MOD-01</x:v>
      </x:c>
      <x:c r="B13" s="11" t="str">
        <x:v>Authentication / Login</x:v>
      </x:c>
      <x:c r="C13" s="11" t="n">
        <x:f>COUNTIF(RTM!$B$2:$B$200,A13)</x:f>
        <x:v>7</x:v>
      </x:c>
      <x:c r="D13" s="11" t="n">
        <x:v>8</x:v>
      </x:c>
      <x:c r="E13" s="11" t="str">
        <x:v>SDQA-3</x:v>
      </x:c>
    </x:row>
    <x:row r="14">
      <x:c r="A14" s="11" t="str">
        <x:v>MOD-02</x:v>
      </x:c>
      <x:c r="B14" s="11" t="str">
        <x:v>Product Listing &amp; Sorting</x:v>
      </x:c>
      <x:c r="C14" s="11" t="n">
        <x:f>COUNTIF(RTM!$B$2:$B$200,A14)</x:f>
        <x:v>9</x:v>
      </x:c>
      <x:c r="D14" s="11" t="n">
        <x:v>10</x:v>
      </x:c>
      <x:c r="E14" s="11" t="str">
        <x:v>SDQA-4</x:v>
      </x:c>
    </x:row>
    <x:row r="15">
      <x:c r="A15" s="11" t="str">
        <x:v>MOD-03</x:v>
      </x:c>
      <x:c r="B15" s="11" t="str">
        <x:v>Product Details</x:v>
      </x:c>
      <x:c r="C15" s="11" t="n">
        <x:f>COUNTIF(RTM!$B$2:$B$200,A15)</x:f>
        <x:v>5</x:v>
      </x:c>
      <x:c r="D15" s="11" t="n">
        <x:v>6</x:v>
      </x:c>
      <x:c r="E15" s="11" t="str">
        <x:v>SDQA-5</x:v>
      </x:c>
    </x:row>
    <x:row r="16">
      <x:c r="A16" s="11" t="str">
        <x:v>MOD-04</x:v>
      </x:c>
      <x:c r="B16" s="11" t="str">
        <x:v>Shopping Cart</x:v>
      </x:c>
      <x:c r="C16" s="11" t="n">
        <x:f>COUNTIF(RTM!$B$2:$B$200,A16)</x:f>
        <x:v>6</x:v>
      </x:c>
      <x:c r="D16" s="11" t="n">
        <x:v>9</x:v>
      </x:c>
      <x:c r="E16" s="11" t="str">
        <x:v>SDQA-6</x:v>
      </x:c>
    </x:row>
    <x:row r="17">
      <x:c r="A17" s="11" t="str">
        <x:v>MOD-05</x:v>
      </x:c>
      <x:c r="B17" s="11" t="str">
        <x:v>Checkout — Customer Information</x:v>
      </x:c>
      <x:c r="C17" s="11" t="n">
        <x:f>COUNTIF(RTM!$B$2:$B$200,A17)</x:f>
        <x:v>7</x:v>
      </x:c>
      <x:c r="D17" s="11" t="n">
        <x:v>9</x:v>
      </x:c>
      <x:c r="E17" s="11" t="str">
        <x:v>SDQA-7</x:v>
      </x:c>
    </x:row>
    <x:row r="18">
      <x:c r="A18" s="11" t="str">
        <x:v>MOD-06</x:v>
      </x:c>
      <x:c r="B18" s="11" t="str">
        <x:v>Checkout — Order Overview</x:v>
      </x:c>
      <x:c r="C18" s="11" t="n">
        <x:f>COUNTIF(RTM!$B$2:$B$200,A18)</x:f>
        <x:v>7</x:v>
      </x:c>
      <x:c r="D18" s="11" t="n">
        <x:v>7</x:v>
      </x:c>
      <x:c r="E18" s="11" t="str">
        <x:v>SDQA-8</x:v>
      </x:c>
    </x:row>
    <x:row r="19">
      <x:c r="A19" s="11" t="str">
        <x:v>MOD-07</x:v>
      </x:c>
      <x:c r="B19" s="11" t="str">
        <x:v>Order Completion</x:v>
      </x:c>
      <x:c r="C19" s="11" t="n">
        <x:f>COUNTIF(RTM!$B$2:$B$200,A19)</x:f>
        <x:v>3</x:v>
      </x:c>
      <x:c r="D19" s="11" t="n">
        <x:v>3</x:v>
      </x:c>
      <x:c r="E19" s="11" t="str">
        <x:v>SDQA-9</x:v>
      </x:c>
    </x:row>
    <x:row r="20">
      <x:c r="A20" s="11" t="str">
        <x:v>MOD-08</x:v>
      </x:c>
      <x:c r="B20" s="11" t="str">
        <x:v>Navigation, Menu &amp; Session</x:v>
      </x:c>
      <x:c r="C20" s="11" t="n">
        <x:f>COUNTIF(RTM!$B$2:$B$200,A20)</x:f>
        <x:v>6</x:v>
      </x:c>
      <x:c r="D20" s="11" t="n">
        <x:v>6</x:v>
      </x:c>
      <x:c r="E20" s="11" t="str">
        <x:v>SDQA-10</x:v>
      </x:c>
    </x:row>
  </x:sheetData>
  <x:mergeCells>
    <x:mergeCell ref="A1:H2"/>
    <x:mergeCell ref="D4:H4"/>
    <x:mergeCell ref="D5:H9"/>
  </x:mergeCells>
  <x:pageMargins left="0.7" right="0.7" top="0.75" bottom="0.75" header="0.3" footer="0.3"/>
  <x:drawing xmlns:r="http://schemas.openxmlformats.org/officeDocument/2006/relationships" r:id="R89d92a808551463d"/>
  <x:tableParts count="1">
    <x:tablePart xmlns:r="http://schemas.openxmlformats.org/officeDocument/2006/relationships" r:id="R6af54baccbd84a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34" hidden="0" customWidth="1"/>
    <x:col min="5" max="5" width="45" hidden="0" customWidth="1"/>
    <x:col min="6" max="6" width="16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10" t="str">
        <x:v>Module ID</x:v>
      </x:c>
      <x:c r="B1" s="10" t="str">
        <x:v>Module</x:v>
      </x:c>
      <x:c r="C1" s="10" t="str">
        <x:v>Jira Key</x:v>
      </x:c>
      <x:c r="D1" s="10" t="str">
        <x:v>Jira Story</x:v>
      </x:c>
      <x:c r="E1" s="10" t="str">
        <x:v>Zephyr Test Cycle</x:v>
      </x:c>
      <x:c r="F1" s="10" t="str">
        <x:v>Test Case Count</x:v>
      </x:c>
      <x:c r="H1" s="5" t="str">
        <x:v>Project Note</x:v>
      </x:c>
      <x:c r="I1" s="5"/>
      <x:c r="J1" s="5"/>
    </x:row>
    <x:row r="2">
      <x:c r="A2" s="11" t="str">
        <x:v>MOD-01</x:v>
      </x:c>
      <x:c r="B2" s="11" t="str">
        <x:v>Authentication / Login</x:v>
      </x:c>
      <x:c r="C2" s="11" t="str">
        <x:v>SDQA-3</x:v>
      </x:c>
      <x:c r="D2" s="11" t="str">
        <x:v>User Authentication and Login</x:v>
      </x:c>
      <x:c r="E2" s="11" t="str">
        <x:v>Login Functional Test Cycle</x:v>
      </x:c>
      <x:c r="F2" s="11" t="n">
        <x:v>8</x:v>
      </x:c>
      <x:c r="H2" s="11" t="str">
        <x:v>Jira keys follow the project sequence used during this portfolio. If your final Navigation story key differs from SDQA-10, update MOD-08 here and the MOD-08 Jira Key cells in the RTM sheet.</x:v>
      </x:c>
      <x:c r="I2" s="11"/>
      <x:c r="J2" s="11"/>
    </x:row>
    <x:row r="3">
      <x:c r="A3" s="11" t="str">
        <x:v>MOD-02</x:v>
      </x:c>
      <x:c r="B3" s="11" t="str">
        <x:v>Product Listing &amp; Sorting</x:v>
      </x:c>
      <x:c r="C3" s="11" t="str">
        <x:v>SDQA-4</x:v>
      </x:c>
      <x:c r="D3" s="11" t="str">
        <x:v>Product Listing and Sorting</x:v>
      </x:c>
      <x:c r="E3" s="11" t="str">
        <x:v>Product Listing Functional Test Cycle</x:v>
      </x:c>
      <x:c r="F3" s="11" t="n">
        <x:v>10</x:v>
      </x:c>
      <x:c r="H3" s="11"/>
      <x:c r="I3" s="11"/>
      <x:c r="J3" s="11"/>
    </x:row>
    <x:row r="4">
      <x:c r="A4" s="11" t="str">
        <x:v>MOD-03</x:v>
      </x:c>
      <x:c r="B4" s="11" t="str">
        <x:v>Product Details</x:v>
      </x:c>
      <x:c r="C4" s="11" t="str">
        <x:v>SDQA-5</x:v>
      </x:c>
      <x:c r="D4" s="11" t="str">
        <x:v>Product Details</x:v>
      </x:c>
      <x:c r="E4" s="11" t="str">
        <x:v>Product Details Functional Test Cycle</x:v>
      </x:c>
      <x:c r="F4" s="11" t="n">
        <x:v>6</x:v>
      </x:c>
      <x:c r="H4" s="11"/>
      <x:c r="I4" s="11"/>
      <x:c r="J4" s="11"/>
    </x:row>
    <x:row r="5">
      <x:c r="A5" s="11" t="str">
        <x:v>MOD-04</x:v>
      </x:c>
      <x:c r="B5" s="11" t="str">
        <x:v>Shopping Cart</x:v>
      </x:c>
      <x:c r="C5" s="11" t="str">
        <x:v>SDQA-6</x:v>
      </x:c>
      <x:c r="D5" s="11" t="str">
        <x:v>Shopping Cart</x:v>
      </x:c>
      <x:c r="E5" s="11" t="str">
        <x:v>Shopping Cart Functional Test Cycle</x:v>
      </x:c>
      <x:c r="F5" s="11" t="n">
        <x:v>9</x:v>
      </x:c>
      <x:c r="H5" s="11"/>
      <x:c r="I5" s="11"/>
      <x:c r="J5" s="11"/>
    </x:row>
    <x:row r="6">
      <x:c r="A6" s="11" t="str">
        <x:v>MOD-05</x:v>
      </x:c>
      <x:c r="B6" s="11" t="str">
        <x:v>Checkout — Customer Information</x:v>
      </x:c>
      <x:c r="C6" s="11" t="str">
        <x:v>SDQA-7</x:v>
      </x:c>
      <x:c r="D6" s="11" t="str">
        <x:v>Checkout — Customer Information</x:v>
      </x:c>
      <x:c r="E6" s="11" t="str">
        <x:v>Checkout Customer Information Functional Test Cycle</x:v>
      </x:c>
      <x:c r="F6" s="11" t="n">
        <x:v>9</x:v>
      </x:c>
    </x:row>
    <x:row r="7">
      <x:c r="A7" s="11" t="str">
        <x:v>MOD-06</x:v>
      </x:c>
      <x:c r="B7" s="11" t="str">
        <x:v>Checkout — Order Overview</x:v>
      </x:c>
      <x:c r="C7" s="11" t="str">
        <x:v>SDQA-8</x:v>
      </x:c>
      <x:c r="D7" s="11" t="str">
        <x:v>Checkout — Order Overview</x:v>
      </x:c>
      <x:c r="E7" s="11" t="str">
        <x:v>Checkout Order Overview Functional Test Cycle</x:v>
      </x:c>
      <x:c r="F7" s="11" t="n">
        <x:v>7</x:v>
      </x:c>
    </x:row>
    <x:row r="8">
      <x:c r="A8" s="11" t="str">
        <x:v>MOD-07</x:v>
      </x:c>
      <x:c r="B8" s="11" t="str">
        <x:v>Order Completion</x:v>
      </x:c>
      <x:c r="C8" s="11" t="str">
        <x:v>SDQA-9</x:v>
      </x:c>
      <x:c r="D8" s="11" t="str">
        <x:v>Order Completion</x:v>
      </x:c>
      <x:c r="E8" s="11" t="str">
        <x:v>Order Completion Functional Test Cycle</x:v>
      </x:c>
      <x:c r="F8" s="11" t="n">
        <x:v>3</x:v>
      </x:c>
    </x:row>
    <x:row r="9">
      <x:c r="A9" s="11" t="str">
        <x:v>MOD-08</x:v>
      </x:c>
      <x:c r="B9" s="11" t="str">
        <x:v>Navigation, Menu &amp; Session</x:v>
      </x:c>
      <x:c r="C9" s="11" t="str">
        <x:v>SDQA-10</x:v>
      </x:c>
      <x:c r="D9" s="11" t="str">
        <x:v>Navigation, Menu and Session</x:v>
      </x:c>
      <x:c r="E9" s="11" t="str">
        <x:v>Navigation and Session Functional Test Cycle</x:v>
      </x:c>
      <x:c r="F9" s="11" t="n">
        <x:v>6</x:v>
      </x:c>
    </x:row>
  </x:sheetData>
  <x:mergeCells>
    <x:mergeCell ref="H1:J1"/>
    <x:mergeCell ref="H2:J5"/>
  </x:mergeCells>
  <x:pageMargins left="0.7" right="0.7" top="0.75" bottom="0.75" header="0.3" footer="0.3"/>
  <x:tableParts count="1">
    <x:tablePart xmlns:r="http://schemas.openxmlformats.org/officeDocument/2006/relationships" r:id="R369a9340ad334a08"/>
  </x:tableParts>
</x:worksheet>
</file>